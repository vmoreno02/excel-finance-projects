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ebel\excel files\"/>
    </mc:Choice>
  </mc:AlternateContent>
  <xr:revisionPtr revIDLastSave="0" documentId="13_ncr:1_{3C16724A-3E3D-405C-943E-68A06260A8FB}" xr6:coauthVersionLast="47" xr6:coauthVersionMax="47" xr10:uidLastSave="{00000000-0000-0000-0000-000000000000}"/>
  <bookViews>
    <workbookView xWindow="-108" yWindow="-108" windowWidth="23256" windowHeight="12456" activeTab="4" xr2:uid="{F9D499BB-6DC0-4786-A7B1-F083CB43242E}"/>
  </bookViews>
  <sheets>
    <sheet name="Summary" sheetId="1" r:id="rId1"/>
    <sheet name="Income Statement" sheetId="2" r:id="rId2"/>
    <sheet name="Balance Sheet" sheetId="3" r:id="rId3"/>
    <sheet name="Cash Flow" sheetId="4" r:id="rId4"/>
    <sheet name="Ratios" sheetId="5" r:id="rId5"/>
    <sheet name="Charts" sheetId="6" r:id="rId6"/>
    <sheet name="Raw Data" sheetId="7" r:id="rId7"/>
  </sheets>
  <definedNames>
    <definedName name="BalanceSheetData">'Raw Data'!$F$1:$I$8</definedName>
    <definedName name="CashFlowData">'Raw Data'!$K$1:$N$7</definedName>
    <definedName name="IncomeStatementData">'Raw Data'!$A$1:$D$8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5" l="1"/>
  <c r="E16" i="5"/>
  <c r="E15" i="5"/>
  <c r="E14" i="5"/>
  <c r="E9" i="5"/>
  <c r="E8" i="5"/>
  <c r="E7" i="5"/>
  <c r="E6" i="5"/>
  <c r="B17" i="5"/>
  <c r="B16" i="5"/>
  <c r="B15" i="5"/>
  <c r="B14" i="5"/>
  <c r="B9" i="5"/>
  <c r="B6" i="5"/>
  <c r="B8" i="5"/>
  <c r="B7" i="5"/>
  <c r="D12" i="4"/>
  <c r="D13" i="4"/>
  <c r="C12" i="4"/>
  <c r="C13" i="4"/>
  <c r="B12" i="4"/>
  <c r="B13" i="4"/>
  <c r="D8" i="4"/>
  <c r="D9" i="4"/>
  <c r="D10" i="4"/>
  <c r="D7" i="4"/>
  <c r="C8" i="4"/>
  <c r="C9" i="4"/>
  <c r="C10" i="4"/>
  <c r="G10" i="4" s="1"/>
  <c r="J10" i="4" s="1"/>
  <c r="C7" i="4"/>
  <c r="B8" i="4"/>
  <c r="B9" i="4"/>
  <c r="B10" i="4"/>
  <c r="B7" i="4"/>
  <c r="D8" i="3"/>
  <c r="D9" i="3"/>
  <c r="D10" i="3"/>
  <c r="D12" i="3"/>
  <c r="D13" i="3"/>
  <c r="D15" i="3"/>
  <c r="D7" i="3"/>
  <c r="C8" i="3"/>
  <c r="F8" i="3" s="1"/>
  <c r="I8" i="3" s="1"/>
  <c r="C9" i="3"/>
  <c r="F9" i="3" s="1"/>
  <c r="I9" i="3" s="1"/>
  <c r="C10" i="3"/>
  <c r="C12" i="3"/>
  <c r="C13" i="3"/>
  <c r="C15" i="3"/>
  <c r="C7" i="3"/>
  <c r="B8" i="3"/>
  <c r="B9" i="3"/>
  <c r="B10" i="3"/>
  <c r="B12" i="3"/>
  <c r="B13" i="3"/>
  <c r="B15" i="3"/>
  <c r="B7" i="3"/>
  <c r="D8" i="2"/>
  <c r="D9" i="2"/>
  <c r="D11" i="2"/>
  <c r="D13" i="2"/>
  <c r="D14" i="2"/>
  <c r="D16" i="2"/>
  <c r="D7" i="2"/>
  <c r="C8" i="2"/>
  <c r="C9" i="2"/>
  <c r="C11" i="2"/>
  <c r="C12" i="2" s="1"/>
  <c r="G12" i="2" s="1"/>
  <c r="C13" i="2"/>
  <c r="C14" i="2"/>
  <c r="C16" i="2"/>
  <c r="C7" i="2"/>
  <c r="B8" i="2"/>
  <c r="B9" i="2"/>
  <c r="B11" i="2"/>
  <c r="B13" i="2"/>
  <c r="B14" i="2"/>
  <c r="B16" i="2"/>
  <c r="B7" i="2"/>
  <c r="F16" i="2" l="1"/>
  <c r="F7" i="2"/>
  <c r="F14" i="2"/>
  <c r="F13" i="2"/>
  <c r="F11" i="2"/>
  <c r="G9" i="4"/>
  <c r="J9" i="4" s="1"/>
  <c r="G8" i="4"/>
  <c r="J8" i="4" s="1"/>
  <c r="G13" i="4"/>
  <c r="J13" i="4" s="1"/>
  <c r="F12" i="4"/>
  <c r="I12" i="4" s="1"/>
  <c r="G12" i="4"/>
  <c r="J12" i="4" s="1"/>
  <c r="G7" i="4"/>
  <c r="J7" i="4" s="1"/>
  <c r="F7" i="3"/>
  <c r="I7" i="3" s="1"/>
  <c r="F15" i="3"/>
  <c r="I15" i="3" s="1"/>
  <c r="F13" i="3"/>
  <c r="I13" i="3" s="1"/>
  <c r="G9" i="3"/>
  <c r="J9" i="3" s="1"/>
  <c r="G8" i="3"/>
  <c r="J8" i="3" s="1"/>
  <c r="F12" i="3"/>
  <c r="I12" i="3" s="1"/>
  <c r="F10" i="3"/>
  <c r="I10" i="3" s="1"/>
  <c r="D12" i="2"/>
  <c r="H12" i="2" s="1"/>
  <c r="G16" i="2"/>
  <c r="H8" i="2"/>
  <c r="H7" i="2"/>
  <c r="H16" i="2"/>
  <c r="H14" i="2"/>
  <c r="H13" i="2"/>
  <c r="F8" i="2"/>
  <c r="H11" i="2"/>
  <c r="G13" i="2"/>
  <c r="G8" i="2"/>
  <c r="F13" i="4"/>
  <c r="I13" i="4" s="1"/>
  <c r="G7" i="3"/>
  <c r="J7" i="3" s="1"/>
  <c r="G15" i="3"/>
  <c r="J15" i="3" s="1"/>
  <c r="G13" i="3"/>
  <c r="J13" i="3" s="1"/>
  <c r="F10" i="4"/>
  <c r="I10" i="4" s="1"/>
  <c r="G12" i="3"/>
  <c r="J12" i="3" s="1"/>
  <c r="F9" i="4"/>
  <c r="I9" i="4" s="1"/>
  <c r="F7" i="4"/>
  <c r="I7" i="4" s="1"/>
  <c r="G10" i="3"/>
  <c r="J10" i="3" s="1"/>
  <c r="F8" i="4"/>
  <c r="I8" i="4" s="1"/>
  <c r="G14" i="2"/>
  <c r="G11" i="2"/>
  <c r="G7" i="2"/>
  <c r="B12" i="2"/>
  <c r="F12" i="2" s="1"/>
</calcChain>
</file>

<file path=xl/sharedStrings.xml><?xml version="1.0" encoding="utf-8"?>
<sst xmlns="http://schemas.openxmlformats.org/spreadsheetml/2006/main" count="106" uniqueCount="76">
  <si>
    <t>Income Statement</t>
  </si>
  <si>
    <t>Net sales revenue</t>
  </si>
  <si>
    <t>COGS</t>
  </si>
  <si>
    <t>Membership fees</t>
  </si>
  <si>
    <t>Total revenue</t>
  </si>
  <si>
    <t>Operating expenses</t>
  </si>
  <si>
    <t>Operating income</t>
  </si>
  <si>
    <t>Net income</t>
  </si>
  <si>
    <t>*All numbers are in millions.</t>
  </si>
  <si>
    <t>Balance Sheet</t>
  </si>
  <si>
    <t>Total current assets</t>
  </si>
  <si>
    <t>Total assets</t>
  </si>
  <si>
    <t>Cash and cash equivalents</t>
  </si>
  <si>
    <t>Merchandise inventories</t>
  </si>
  <si>
    <t>Total current liabilities</t>
  </si>
  <si>
    <t>Total liabilities</t>
  </si>
  <si>
    <t>Total equity</t>
  </si>
  <si>
    <t>Cash Flows Statement</t>
  </si>
  <si>
    <t>Cash from operating activities</t>
  </si>
  <si>
    <t>Cash from investing activities</t>
  </si>
  <si>
    <t>Cash from financing activities</t>
  </si>
  <si>
    <t>Capital expenditure</t>
  </si>
  <si>
    <t>Gross profit</t>
  </si>
  <si>
    <t>Income Statement: Vertical Analysis Over Three Years</t>
  </si>
  <si>
    <t>Variance in Dollars</t>
  </si>
  <si>
    <t>Variance as Percentage</t>
  </si>
  <si>
    <t>2023-2024</t>
  </si>
  <si>
    <t>2024-2025</t>
  </si>
  <si>
    <t>Total cash, beginning of year</t>
  </si>
  <si>
    <t>Total cash, end of year</t>
  </si>
  <si>
    <t>Liquidity</t>
  </si>
  <si>
    <t>Quick ratio</t>
  </si>
  <si>
    <t>Current ratio</t>
  </si>
  <si>
    <t>Leverage</t>
  </si>
  <si>
    <t>Debt to equity</t>
  </si>
  <si>
    <t>Debt to capital</t>
  </si>
  <si>
    <t>Debt to EBITDA</t>
  </si>
  <si>
    <t>Interest coverage</t>
  </si>
  <si>
    <t>Efficiency</t>
  </si>
  <si>
    <t>Inventory turnover</t>
  </si>
  <si>
    <t>Accounts receivable days</t>
  </si>
  <si>
    <t>Accounts payable days</t>
  </si>
  <si>
    <t>Cash ratio</t>
  </si>
  <si>
    <t>Profitability</t>
  </si>
  <si>
    <t>Gross profit margin</t>
  </si>
  <si>
    <t>Net profit margin</t>
  </si>
  <si>
    <t>Return on assets</t>
  </si>
  <si>
    <t>Return on equity</t>
  </si>
  <si>
    <t>Business Ratios for 2025 by Type</t>
  </si>
  <si>
    <t>Short-term investments</t>
  </si>
  <si>
    <t>Net accounts receivable</t>
  </si>
  <si>
    <t>Accounts payable</t>
  </si>
  <si>
    <t>Asset turnover</t>
  </si>
  <si>
    <t>Depreciation and amortization</t>
  </si>
  <si>
    <t>Interest expense</t>
  </si>
  <si>
    <t>Net working capital (millions)</t>
  </si>
  <si>
    <t>Balance Sheet: Horizontal Analysis Over Three Years</t>
  </si>
  <si>
    <t>Sources:</t>
  </si>
  <si>
    <t>Costco 2025 Form 10-K</t>
  </si>
  <si>
    <t>Costco 2024 Form 10-K</t>
  </si>
  <si>
    <t>Cash Flow:  Horizontal Analysis</t>
  </si>
  <si>
    <t>Summary of Findings: Costco Financial Statements 2023-2025</t>
  </si>
  <si>
    <t>Membership revenue has gradually increased - management commentary mentions price increases and new member sign-ups as the reason.</t>
  </si>
  <si>
    <t>$ in millions</t>
  </si>
  <si>
    <t>Growth has been financed more through equity and retained earnings rather than debt over time. This indicates a relatively strong financial position.</t>
  </si>
  <si>
    <t>Operating cash flow increased by nearly 18% from 2024 to 2025, reflecting strong cash inflow from core operations.</t>
  </si>
  <si>
    <t>Overall, the company demonstrated consistent revenue growth, strong cash flow, and operational improvement over the period. Despite revenue growth, profitability grew only slightly, perhaps due to increasing cost pressures or tight operational margins.</t>
  </si>
  <si>
    <t>Insights</t>
  </si>
  <si>
    <t>Current ratio slightly above 1 - adequate liquidity</t>
  </si>
  <si>
    <t>Rapid inventory turnover - efficient use of cash to purchase and sell inventory</t>
  </si>
  <si>
    <t>Thin profit margins - revenue diverted to costs and expenses</t>
  </si>
  <si>
    <t xml:space="preserve">Revenue increased over the 3 year period, indicating consistent growth in demand and strong warehouse performance. Commentary in the source documents mentions that the company opens new warehouses each year, which increases upfront costs but supports long-term revenue growth. </t>
  </si>
  <si>
    <t>Cost of goods sold also increased over the period, resulting in net income/profit margins growing more slowly than revenue. Rising costs are potentially due to inflation, increases in tarriffs and other taxes and fees, supply chain disruptions, and broader cost structure changes.</t>
  </si>
  <si>
    <t>Management highlights in-warehouse merchandise and ancillary sales as key performance drivers. Memberships come with no operational costs but consistently represent less than 2% of total revenue.</t>
  </si>
  <si>
    <t>Moderate debt-to-equity - some reliance on leverage to support growth</t>
  </si>
  <si>
    <t>Strong ROE  - suggests effective use of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</si>
</sst>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64" formatCode="_(&quot;$&quot;* #,##0_);_(&quot;$&quot;* \(#,##0\);_(&quot;$&quot;* &quot;-&quot;??_);_(@_)"/>
    <numFmt numFmtId="170" formatCode="0.000"/>
  </numFmts>
  <fonts count="8" x14ac:knownFonts="1">
    <font>
      <sz val="11"/>
      <color theme="1"/>
      <name val="Tw Cen MT"/>
      <family val="2"/>
      <scheme val="minor"/>
    </font>
    <font>
      <sz val="11"/>
      <color theme="1"/>
      <name val="Tw Cen MT"/>
      <family val="2"/>
      <scheme val="minor"/>
    </font>
    <font>
      <b/>
      <sz val="11"/>
      <color theme="1"/>
      <name val="Tw Cen MT"/>
      <family val="2"/>
      <scheme val="minor"/>
    </font>
    <font>
      <b/>
      <i/>
      <sz val="11"/>
      <color theme="1"/>
      <name val="Tw Cen MT"/>
      <family val="2"/>
      <scheme val="minor"/>
    </font>
    <font>
      <i/>
      <sz val="11"/>
      <color theme="1"/>
      <name val="Tw Cen MT"/>
      <family val="2"/>
      <scheme val="minor"/>
    </font>
    <font>
      <sz val="11"/>
      <color rgb="FFFF0000"/>
      <name val="Tw Cen MT"/>
      <family val="2"/>
      <scheme val="minor"/>
    </font>
    <font>
      <b/>
      <sz val="20"/>
      <color theme="1"/>
      <name val="Tw Cen MT"/>
      <family val="2"/>
      <scheme val="minor"/>
    </font>
    <font>
      <u/>
      <sz val="11"/>
      <color theme="10"/>
      <name val="Tw Cen MT"/>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8" tint="0.39997558519241921"/>
        <bgColor indexed="64"/>
      </patternFill>
    </fill>
    <fill>
      <patternFill patternType="solid">
        <fgColor theme="8"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56">
    <xf numFmtId="0" fontId="0" fillId="0" borderId="0" xfId="0"/>
    <xf numFmtId="0" fontId="2" fillId="0" borderId="0" xfId="0" applyFont="1"/>
    <xf numFmtId="0" fontId="4" fillId="0" borderId="0" xfId="0" applyFont="1"/>
    <xf numFmtId="164" fontId="0" fillId="0" borderId="0" xfId="0" applyNumberFormat="1"/>
    <xf numFmtId="10" fontId="0" fillId="0" borderId="0" xfId="1" applyNumberFormat="1" applyFont="1"/>
    <xf numFmtId="0" fontId="6" fillId="0" borderId="0" xfId="0" applyFont="1" applyAlignment="1">
      <alignment horizontal="center" vertical="center"/>
    </xf>
    <xf numFmtId="0" fontId="0" fillId="2" borderId="0" xfId="0" applyFill="1"/>
    <xf numFmtId="0" fontId="0" fillId="3" borderId="0" xfId="0" applyFill="1"/>
    <xf numFmtId="0" fontId="0" fillId="3" borderId="1" xfId="0" applyFill="1" applyBorder="1"/>
    <xf numFmtId="0" fontId="0" fillId="0" borderId="1" xfId="0" applyBorder="1"/>
    <xf numFmtId="170" fontId="0" fillId="0" borderId="1" xfId="0" applyNumberFormat="1" applyBorder="1"/>
    <xf numFmtId="1" fontId="0" fillId="0" borderId="1" xfId="0" applyNumberFormat="1" applyBorder="1"/>
    <xf numFmtId="0" fontId="2" fillId="3" borderId="1" xfId="0" applyFont="1" applyFill="1" applyBorder="1"/>
    <xf numFmtId="0" fontId="4" fillId="3" borderId="0" xfId="0" applyFont="1" applyFill="1"/>
    <xf numFmtId="0" fontId="4" fillId="3" borderId="1" xfId="0" applyFont="1" applyFill="1" applyBorder="1"/>
    <xf numFmtId="164" fontId="0" fillId="0" borderId="1" xfId="0" applyNumberFormat="1" applyBorder="1"/>
    <xf numFmtId="10" fontId="0" fillId="0" borderId="1" xfId="1" applyNumberFormat="1" applyFont="1" applyBorder="1"/>
    <xf numFmtId="0" fontId="0" fillId="3" borderId="2" xfId="0" applyFill="1" applyBorder="1"/>
    <xf numFmtId="0" fontId="0" fillId="3" borderId="3" xfId="0" applyFill="1" applyBorder="1"/>
    <xf numFmtId="0" fontId="3" fillId="3" borderId="2" xfId="0" applyFont="1" applyFill="1" applyBorder="1"/>
    <xf numFmtId="164" fontId="5" fillId="0" borderId="2" xfId="0" applyNumberFormat="1" applyFont="1" applyBorder="1"/>
    <xf numFmtId="0" fontId="4" fillId="3" borderId="2" xfId="0" applyFont="1" applyFill="1" applyBorder="1"/>
    <xf numFmtId="164" fontId="0" fillId="0" borderId="2" xfId="0" applyNumberFormat="1" applyBorder="1"/>
    <xf numFmtId="10" fontId="5" fillId="0" borderId="2" xfId="1" applyNumberFormat="1" applyFont="1" applyBorder="1"/>
    <xf numFmtId="10" fontId="0" fillId="0" borderId="2" xfId="1" applyNumberFormat="1" applyFont="1" applyBorder="1"/>
    <xf numFmtId="0" fontId="4" fillId="3" borderId="3" xfId="0" applyFont="1" applyFill="1" applyBorder="1"/>
    <xf numFmtId="164" fontId="0" fillId="0" borderId="3" xfId="0" applyNumberFormat="1" applyBorder="1"/>
    <xf numFmtId="10" fontId="0" fillId="0" borderId="3" xfId="1" applyNumberFormat="1" applyFont="1" applyBorder="1"/>
    <xf numFmtId="164" fontId="5" fillId="0" borderId="5" xfId="0" applyNumberFormat="1" applyFont="1" applyBorder="1"/>
    <xf numFmtId="164" fontId="0" fillId="0" borderId="5" xfId="0" applyNumberFormat="1" applyBorder="1"/>
    <xf numFmtId="10" fontId="5" fillId="0" borderId="5" xfId="1" applyNumberFormat="1" applyFont="1" applyBorder="1"/>
    <xf numFmtId="10" fontId="0" fillId="0" borderId="5" xfId="1" applyNumberFormat="1" applyFont="1" applyBorder="1"/>
    <xf numFmtId="10" fontId="0" fillId="0" borderId="6" xfId="1" applyNumberFormat="1" applyFont="1" applyBorder="1"/>
    <xf numFmtId="10" fontId="5" fillId="0" borderId="6" xfId="1" applyNumberFormat="1" applyFont="1" applyBorder="1"/>
    <xf numFmtId="0" fontId="3" fillId="3" borderId="7" xfId="0" applyFont="1" applyFill="1" applyBorder="1"/>
    <xf numFmtId="0" fontId="4" fillId="3" borderId="7" xfId="0" applyFont="1" applyFill="1" applyBorder="1"/>
    <xf numFmtId="0" fontId="0" fillId="3" borderId="8" xfId="0" applyFill="1" applyBorder="1"/>
    <xf numFmtId="0" fontId="3" fillId="0" borderId="1" xfId="0" applyFont="1" applyBorder="1"/>
    <xf numFmtId="0" fontId="4" fillId="0" borderId="1" xfId="0" applyFont="1" applyBorder="1"/>
    <xf numFmtId="41" fontId="0" fillId="0" borderId="1" xfId="0" applyNumberFormat="1" applyBorder="1"/>
    <xf numFmtId="0" fontId="2" fillId="3" borderId="0" xfId="0" applyFont="1" applyFill="1"/>
    <xf numFmtId="0" fontId="2" fillId="3" borderId="4" xfId="0" applyFont="1" applyFill="1" applyBorder="1"/>
    <xf numFmtId="0" fontId="2" fillId="3" borderId="9" xfId="0" applyFont="1" applyFill="1" applyBorder="1"/>
    <xf numFmtId="0" fontId="2" fillId="3" borderId="10" xfId="0" applyFont="1" applyFill="1" applyBorder="1"/>
    <xf numFmtId="0" fontId="0" fillId="3" borderId="11" xfId="0" applyFill="1" applyBorder="1"/>
    <xf numFmtId="0" fontId="6" fillId="0" borderId="0" xfId="0" applyFont="1" applyAlignment="1">
      <alignment horizontal="center"/>
    </xf>
    <xf numFmtId="0" fontId="0" fillId="0" borderId="1" xfId="0" applyBorder="1"/>
    <xf numFmtId="0" fontId="7" fillId="0" borderId="0" xfId="2"/>
    <xf numFmtId="0" fontId="0" fillId="4" borderId="1" xfId="0" applyFill="1" applyBorder="1" applyAlignment="1">
      <alignment wrapText="1"/>
    </xf>
    <xf numFmtId="0" fontId="0" fillId="0" borderId="1" xfId="0" applyBorder="1" applyAlignment="1">
      <alignment wrapText="1"/>
    </xf>
    <xf numFmtId="0" fontId="2" fillId="3" borderId="1" xfId="0" applyFont="1" applyFill="1" applyBorder="1"/>
    <xf numFmtId="0" fontId="0" fillId="3" borderId="1" xfId="0" applyFill="1" applyBorder="1" applyAlignment="1">
      <alignment horizontal="right"/>
    </xf>
    <xf numFmtId="0" fontId="0" fillId="3" borderId="0" xfId="0" applyFill="1" applyAlignment="1">
      <alignment horizontal="right"/>
    </xf>
    <xf numFmtId="0" fontId="0" fillId="0" borderId="7" xfId="0" applyBorder="1" applyAlignment="1"/>
    <xf numFmtId="0" fontId="0" fillId="0" borderId="5" xfId="0" applyBorder="1" applyAlignment="1"/>
    <xf numFmtId="0" fontId="0" fillId="0" borderId="6" xfId="0" applyBorder="1" applyAlignmen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'Income Statement'!$A$7</c:f>
              <c:strCache>
                <c:ptCount val="1"/>
                <c:pt idx="0">
                  <c:v>Net sales revenue</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'Income Statement'!$B$6:$D$6</c:f>
              <c:numCache>
                <c:formatCode>General</c:formatCode>
                <c:ptCount val="3"/>
                <c:pt idx="0">
                  <c:v>2023</c:v>
                </c:pt>
                <c:pt idx="1">
                  <c:v>2024</c:v>
                </c:pt>
                <c:pt idx="2">
                  <c:v>2025</c:v>
                </c:pt>
              </c:numCache>
            </c:numRef>
          </c:cat>
          <c:val>
            <c:numRef>
              <c:f>'Income Statement'!$B$7:$D$7</c:f>
              <c:numCache>
                <c:formatCode>_("$"* #,##0_);_("$"* \(#,##0\);_("$"* "-"??_);_(@_)</c:formatCode>
                <c:ptCount val="3"/>
                <c:pt idx="0">
                  <c:v>237710</c:v>
                </c:pt>
                <c:pt idx="1">
                  <c:v>249625</c:v>
                </c:pt>
                <c:pt idx="2">
                  <c:v>269912</c:v>
                </c:pt>
              </c:numCache>
            </c:numRef>
          </c:val>
          <c:smooth val="0"/>
          <c:extLst>
            <c:ext xmlns:c16="http://schemas.microsoft.com/office/drawing/2014/chart" uri="{C3380CC4-5D6E-409C-BE32-E72D297353CC}">
              <c16:uniqueId val="{00000000-C0AF-4AF3-91E9-838E007CB55F}"/>
            </c:ext>
          </c:extLst>
        </c:ser>
        <c:dLbls>
          <c:dLblPos val="t"/>
          <c:showLegendKey val="0"/>
          <c:showVal val="1"/>
          <c:showCatName val="0"/>
          <c:showSerName val="0"/>
          <c:showPercent val="0"/>
          <c:showBubbleSize val="0"/>
        </c:dLbls>
        <c:smooth val="0"/>
        <c:axId val="582757727"/>
        <c:axId val="582755807"/>
      </c:lineChart>
      <c:catAx>
        <c:axId val="5827577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2755807"/>
        <c:crosses val="autoZero"/>
        <c:auto val="1"/>
        <c:lblAlgn val="ctr"/>
        <c:lblOffset val="100"/>
        <c:noMultiLvlLbl val="0"/>
      </c:catAx>
      <c:valAx>
        <c:axId val="582755807"/>
        <c:scaling>
          <c:orientation val="minMax"/>
          <c:min val="23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275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'Income Statement'!$A$16</c:f>
              <c:strCache>
                <c:ptCount val="1"/>
                <c:pt idx="0">
                  <c:v>Net income</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'Income Statement'!$B$6:$D$6</c:f>
              <c:numCache>
                <c:formatCode>General</c:formatCode>
                <c:ptCount val="3"/>
                <c:pt idx="0">
                  <c:v>2023</c:v>
                </c:pt>
                <c:pt idx="1">
                  <c:v>2024</c:v>
                </c:pt>
                <c:pt idx="2">
                  <c:v>2025</c:v>
                </c:pt>
              </c:numCache>
            </c:numRef>
          </c:cat>
          <c:val>
            <c:numRef>
              <c:f>'Income Statement'!$B$16:$D$16</c:f>
              <c:numCache>
                <c:formatCode>_("$"* #,##0_);_("$"* \(#,##0\);_("$"* "-"??_);_(@_)</c:formatCode>
                <c:ptCount val="3"/>
                <c:pt idx="0">
                  <c:v>6292</c:v>
                </c:pt>
                <c:pt idx="1">
                  <c:v>7367</c:v>
                </c:pt>
                <c:pt idx="2">
                  <c:v>8099</c:v>
                </c:pt>
              </c:numCache>
            </c:numRef>
          </c:val>
          <c:smooth val="0"/>
          <c:extLst>
            <c:ext xmlns:c16="http://schemas.microsoft.com/office/drawing/2014/chart" uri="{C3380CC4-5D6E-409C-BE32-E72D297353CC}">
              <c16:uniqueId val="{00000000-C985-4B1A-B889-C75FC333B56D}"/>
            </c:ext>
          </c:extLst>
        </c:ser>
        <c:dLbls>
          <c:dLblPos val="t"/>
          <c:showLegendKey val="0"/>
          <c:showVal val="1"/>
          <c:showCatName val="0"/>
          <c:showSerName val="0"/>
          <c:showPercent val="0"/>
          <c:showBubbleSize val="0"/>
        </c:dLbls>
        <c:smooth val="0"/>
        <c:axId val="138187215"/>
        <c:axId val="138187695"/>
      </c:lineChart>
      <c:catAx>
        <c:axId val="1381872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187695"/>
        <c:crosses val="autoZero"/>
        <c:auto val="1"/>
        <c:lblAlgn val="ctr"/>
        <c:lblOffset val="100"/>
        <c:noMultiLvlLbl val="0"/>
      </c:catAx>
      <c:valAx>
        <c:axId val="138187695"/>
        <c:scaling>
          <c:orientation val="minMax"/>
          <c:min val="6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18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'Cash Flow'!$A$7</c:f>
              <c:strCache>
                <c:ptCount val="1"/>
                <c:pt idx="0">
                  <c:v>Cash from operating activities</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'Cash Flow'!$B$6:$D$6</c:f>
              <c:numCache>
                <c:formatCode>General</c:formatCode>
                <c:ptCount val="3"/>
                <c:pt idx="0">
                  <c:v>2023</c:v>
                </c:pt>
                <c:pt idx="1">
                  <c:v>2024</c:v>
                </c:pt>
                <c:pt idx="2">
                  <c:v>2025</c:v>
                </c:pt>
              </c:numCache>
            </c:numRef>
          </c:cat>
          <c:val>
            <c:numRef>
              <c:f>'Cash Flow'!$B$7:$D$7</c:f>
              <c:numCache>
                <c:formatCode>_("$"* #,##0_);_("$"* \(#,##0\);_("$"* "-"??_);_(@_)</c:formatCode>
                <c:ptCount val="3"/>
                <c:pt idx="0">
                  <c:v>11068</c:v>
                </c:pt>
                <c:pt idx="1">
                  <c:v>11339</c:v>
                </c:pt>
                <c:pt idx="2">
                  <c:v>13335</c:v>
                </c:pt>
              </c:numCache>
            </c:numRef>
          </c:val>
          <c:smooth val="0"/>
          <c:extLst>
            <c:ext xmlns:c16="http://schemas.microsoft.com/office/drawing/2014/chart" uri="{C3380CC4-5D6E-409C-BE32-E72D297353CC}">
              <c16:uniqueId val="{00000000-36E2-46EB-95B0-8EE7374467BF}"/>
            </c:ext>
          </c:extLst>
        </c:ser>
        <c:dLbls>
          <c:dLblPos val="t"/>
          <c:showLegendKey val="0"/>
          <c:showVal val="1"/>
          <c:showCatName val="0"/>
          <c:showSerName val="0"/>
          <c:showPercent val="0"/>
          <c:showBubbleSize val="0"/>
        </c:dLbls>
        <c:smooth val="0"/>
        <c:axId val="607770319"/>
        <c:axId val="607771279"/>
      </c:lineChart>
      <c:catAx>
        <c:axId val="6077703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7771279"/>
        <c:crosses val="autoZero"/>
        <c:auto val="1"/>
        <c:lblAlgn val="ctr"/>
        <c:lblOffset val="100"/>
        <c:noMultiLvlLbl val="0"/>
      </c:catAx>
      <c:valAx>
        <c:axId val="607771279"/>
        <c:scaling>
          <c:orientation val="minMax"/>
          <c:max val="14000"/>
          <c:min val="11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77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87630</xdr:rowOff>
    </xdr:from>
    <xdr:to>
      <xdr:col>7</xdr:col>
      <xdr:colOff>403860</xdr:colOff>
      <xdr:row>15</xdr:row>
      <xdr:rowOff>87630</xdr:rowOff>
    </xdr:to>
    <xdr:graphicFrame macro="">
      <xdr:nvGraphicFramePr>
        <xdr:cNvPr id="3" name="Chart 1">
          <a:extLst>
            <a:ext uri="{FF2B5EF4-FFF2-40B4-BE49-F238E27FC236}">
              <a16:creationId xmlns:a16="http://schemas.microsoft.com/office/drawing/2014/main" id="{A8BC5088-7916-0C7B-4F5D-152820EE3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171450</xdr:colOff>
      <xdr:row>16</xdr:row>
      <xdr:rowOff>53340</xdr:rowOff>
    </xdr:from>
    <xdr:to>
      <xdr:col>7</xdr:col>
      <xdr:colOff>49530</xdr:colOff>
      <xdr:row>31</xdr:row>
      <xdr:rowOff>167640</xdr:rowOff>
    </xdr:to>
    <xdr:graphicFrame macro="">
      <xdr:nvGraphicFramePr>
        <xdr:cNvPr id="2" name="Chart 1">
          <a:extLst>
            <a:ext uri="{FF2B5EF4-FFF2-40B4-BE49-F238E27FC236}">
              <a16:creationId xmlns:a16="http://schemas.microsoft.com/office/drawing/2014/main" id="{8C875090-2879-D9B7-D3D0-475B63A56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537210</xdr:colOff>
      <xdr:row>0</xdr:row>
      <xdr:rowOff>91440</xdr:rowOff>
    </xdr:from>
    <xdr:to>
      <xdr:col>14</xdr:col>
      <xdr:colOff>415290</xdr:colOff>
      <xdr:row>16</xdr:row>
      <xdr:rowOff>30480</xdr:rowOff>
    </xdr:to>
    <xdr:graphicFrame macro="">
      <xdr:nvGraphicFramePr>
        <xdr:cNvPr id="4" name="Chart 1">
          <a:extLst>
            <a:ext uri="{FF2B5EF4-FFF2-40B4-BE49-F238E27FC236}">
              <a16:creationId xmlns:a16="http://schemas.microsoft.com/office/drawing/2014/main" id="{7BA418DA-2B4B-E70A-79EC-F5235F161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ec.gov/Archives/edgar/data/909832/000090983224000049/cost-20240901.htm" TargetMode="External"/><Relationship Id="rId1" Type="http://schemas.openxmlformats.org/officeDocument/2006/relationships/hyperlink" Target="https://www.sec.gov/Archives/edgar/data/909832/000090983225000101/cost-2025083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78F3-02A3-4A76-8D14-47EF99BAA939}">
  <dimension ref="A1:J10"/>
  <sheetViews>
    <sheetView workbookViewId="0">
      <selection activeCell="A10" sqref="A10:J10"/>
    </sheetView>
  </sheetViews>
  <sheetFormatPr defaultRowHeight="13.8" x14ac:dyDescent="0.25"/>
  <cols>
    <col min="10" max="10" width="12.09765625" customWidth="1"/>
  </cols>
  <sheetData>
    <row r="1" spans="1:10" ht="25.2" x14ac:dyDescent="0.45">
      <c r="A1" s="45" t="s">
        <v>61</v>
      </c>
      <c r="B1" s="45"/>
      <c r="C1" s="45"/>
      <c r="D1" s="45"/>
      <c r="E1" s="45"/>
      <c r="F1" s="45"/>
      <c r="G1" s="45"/>
      <c r="H1" s="45"/>
      <c r="I1" s="45"/>
      <c r="J1" s="45"/>
    </row>
    <row r="2" spans="1:10" x14ac:dyDescent="0.25">
      <c r="A2" s="6"/>
      <c r="B2" s="6"/>
      <c r="C2" s="6"/>
      <c r="D2" s="6"/>
      <c r="E2" s="6"/>
      <c r="F2" s="6"/>
      <c r="G2" s="6"/>
      <c r="H2" s="6"/>
      <c r="I2" s="6"/>
      <c r="J2" s="6"/>
    </row>
    <row r="4" spans="1:10" ht="49.95" customHeight="1" x14ac:dyDescent="0.25">
      <c r="A4" s="48" t="s">
        <v>71</v>
      </c>
      <c r="B4" s="48"/>
      <c r="C4" s="48"/>
      <c r="D4" s="48"/>
      <c r="E4" s="48"/>
      <c r="F4" s="48"/>
      <c r="G4" s="48"/>
      <c r="H4" s="48"/>
      <c r="I4" s="48"/>
      <c r="J4" s="48"/>
    </row>
    <row r="5" spans="1:10" ht="49.95" customHeight="1" x14ac:dyDescent="0.25">
      <c r="A5" s="49" t="s">
        <v>72</v>
      </c>
      <c r="B5" s="49"/>
      <c r="C5" s="49"/>
      <c r="D5" s="49"/>
      <c r="E5" s="49"/>
      <c r="F5" s="49"/>
      <c r="G5" s="49"/>
      <c r="H5" s="49"/>
      <c r="I5" s="49"/>
      <c r="J5" s="49"/>
    </row>
    <row r="6" spans="1:10" ht="49.95" customHeight="1" x14ac:dyDescent="0.25">
      <c r="A6" s="48" t="s">
        <v>65</v>
      </c>
      <c r="B6" s="48"/>
      <c r="C6" s="48"/>
      <c r="D6" s="48"/>
      <c r="E6" s="48"/>
      <c r="F6" s="48"/>
      <c r="G6" s="48"/>
      <c r="H6" s="48"/>
      <c r="I6" s="48"/>
      <c r="J6" s="48"/>
    </row>
    <row r="7" spans="1:10" ht="49.95" customHeight="1" x14ac:dyDescent="0.25">
      <c r="A7" s="49" t="s">
        <v>64</v>
      </c>
      <c r="B7" s="49"/>
      <c r="C7" s="49"/>
      <c r="D7" s="49"/>
      <c r="E7" s="49"/>
      <c r="F7" s="49"/>
      <c r="G7" s="49"/>
      <c r="H7" s="49"/>
      <c r="I7" s="49"/>
      <c r="J7" s="49"/>
    </row>
    <row r="8" spans="1:10" ht="49.95" customHeight="1" x14ac:dyDescent="0.25">
      <c r="A8" s="48" t="s">
        <v>62</v>
      </c>
      <c r="B8" s="48"/>
      <c r="C8" s="48"/>
      <c r="D8" s="48"/>
      <c r="E8" s="48"/>
      <c r="F8" s="48"/>
      <c r="G8" s="48"/>
      <c r="H8" s="48"/>
      <c r="I8" s="48"/>
      <c r="J8" s="48"/>
    </row>
    <row r="9" spans="1:10" ht="49.95" customHeight="1" x14ac:dyDescent="0.25">
      <c r="A9" s="49" t="s">
        <v>73</v>
      </c>
      <c r="B9" s="49"/>
      <c r="C9" s="49"/>
      <c r="D9" s="49"/>
      <c r="E9" s="49"/>
      <c r="F9" s="49"/>
      <c r="G9" s="49"/>
      <c r="H9" s="49"/>
      <c r="I9" s="49"/>
      <c r="J9" s="49"/>
    </row>
    <row r="10" spans="1:10" ht="49.95" customHeight="1" x14ac:dyDescent="0.25">
      <c r="A10" s="48" t="s">
        <v>66</v>
      </c>
      <c r="B10" s="48"/>
      <c r="C10" s="48"/>
      <c r="D10" s="48"/>
      <c r="E10" s="48"/>
      <c r="F10" s="48"/>
      <c r="G10" s="48"/>
      <c r="H10" s="48"/>
      <c r="I10" s="48"/>
      <c r="J10" s="48"/>
    </row>
  </sheetData>
  <mergeCells count="8">
    <mergeCell ref="A9:J9"/>
    <mergeCell ref="A10:J10"/>
    <mergeCell ref="A1:J1"/>
    <mergeCell ref="A4:J4"/>
    <mergeCell ref="A5:J5"/>
    <mergeCell ref="A6:J6"/>
    <mergeCell ref="A7:J7"/>
    <mergeCell ref="A8:J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07C0-D350-4310-9811-4CE08F4916A5}">
  <dimension ref="A1:H16"/>
  <sheetViews>
    <sheetView workbookViewId="0">
      <selection activeCell="A5" sqref="A5"/>
    </sheetView>
  </sheetViews>
  <sheetFormatPr defaultRowHeight="13.8" x14ac:dyDescent="0.25"/>
  <cols>
    <col min="1" max="1" width="17.59765625" customWidth="1"/>
    <col min="2" max="4" width="12.09765625" customWidth="1"/>
  </cols>
  <sheetData>
    <row r="1" spans="1:8" ht="13.8" customHeight="1" x14ac:dyDescent="0.25">
      <c r="A1" s="5" t="s">
        <v>23</v>
      </c>
      <c r="B1" s="5"/>
      <c r="C1" s="5"/>
      <c r="D1" s="5"/>
      <c r="E1" s="5"/>
      <c r="F1" s="5"/>
      <c r="G1" s="5"/>
      <c r="H1" s="5"/>
    </row>
    <row r="2" spans="1:8" ht="13.8" customHeight="1" x14ac:dyDescent="0.25">
      <c r="A2" s="5"/>
      <c r="B2" s="5"/>
      <c r="C2" s="5"/>
      <c r="D2" s="5"/>
      <c r="E2" s="5"/>
      <c r="F2" s="5"/>
      <c r="G2" s="5"/>
      <c r="H2" s="5"/>
    </row>
    <row r="3" spans="1:8" x14ac:dyDescent="0.25">
      <c r="A3" s="6"/>
      <c r="B3" s="6"/>
      <c r="C3" s="6"/>
      <c r="D3" s="6"/>
      <c r="E3" s="6"/>
      <c r="F3" s="6"/>
      <c r="G3" s="6"/>
      <c r="H3" s="6"/>
    </row>
    <row r="5" spans="1:8" x14ac:dyDescent="0.25">
      <c r="A5" s="2" t="s">
        <v>63</v>
      </c>
    </row>
    <row r="6" spans="1:8" x14ac:dyDescent="0.25">
      <c r="A6" s="8"/>
      <c r="B6" s="8">
        <v>2023</v>
      </c>
      <c r="C6" s="8">
        <v>2024</v>
      </c>
      <c r="D6" s="8">
        <v>2025</v>
      </c>
      <c r="E6" s="17"/>
      <c r="F6" s="8">
        <v>2023</v>
      </c>
      <c r="G6" s="8">
        <v>2024</v>
      </c>
      <c r="H6" s="8">
        <v>2025</v>
      </c>
    </row>
    <row r="7" spans="1:8" x14ac:dyDescent="0.25">
      <c r="A7" s="14" t="s">
        <v>1</v>
      </c>
      <c r="B7" s="15">
        <f>VLOOKUP(A7, IncomeStatementData, 4, FALSE)</f>
        <v>237710</v>
      </c>
      <c r="C7" s="15">
        <f>VLOOKUP(A7, IncomeStatementData, 3, FALSE)</f>
        <v>249625</v>
      </c>
      <c r="D7" s="15">
        <f>VLOOKUP(A7, IncomeStatementData, 2, FALSE)</f>
        <v>269912</v>
      </c>
      <c r="E7" s="7"/>
      <c r="F7" s="16">
        <f>B7/B9</f>
        <v>0.98109703248173674</v>
      </c>
      <c r="G7" s="16">
        <f t="shared" ref="G7:H7" si="0">C7/C9</f>
        <v>0.98102596550247001</v>
      </c>
      <c r="H7" s="16">
        <f t="shared" si="0"/>
        <v>0.98066016313332238</v>
      </c>
    </row>
    <row r="8" spans="1:8" x14ac:dyDescent="0.25">
      <c r="A8" s="14" t="s">
        <v>3</v>
      </c>
      <c r="B8" s="15">
        <f>VLOOKUP(A8, IncomeStatementData, 4, FALSE)</f>
        <v>4580</v>
      </c>
      <c r="C8" s="15">
        <f>VLOOKUP(A8, IncomeStatementData, 3, FALSE)</f>
        <v>4828</v>
      </c>
      <c r="D8" s="15">
        <f>VLOOKUP(A8, IncomeStatementData, 2, FALSE)</f>
        <v>5323</v>
      </c>
      <c r="E8" s="7"/>
      <c r="F8" s="16">
        <f>B8/B9</f>
        <v>1.8902967518263238E-2</v>
      </c>
      <c r="G8" s="16">
        <f t="shared" ref="G8:H8" si="1">C8/C9</f>
        <v>1.8974034497529997E-2</v>
      </c>
      <c r="H8" s="16">
        <f t="shared" si="1"/>
        <v>1.9339836866677566E-2</v>
      </c>
    </row>
    <row r="9" spans="1:8" x14ac:dyDescent="0.25">
      <c r="A9" s="19" t="s">
        <v>4</v>
      </c>
      <c r="B9" s="20">
        <f>VLOOKUP(A9, IncomeStatementData, 4, FALSE)</f>
        <v>242290</v>
      </c>
      <c r="C9" s="20">
        <f>VLOOKUP(A9, IncomeStatementData, 3, FALSE)</f>
        <v>254453</v>
      </c>
      <c r="D9" s="20">
        <f>VLOOKUP(A9, IncomeStatementData, 2, FALSE)</f>
        <v>275235</v>
      </c>
      <c r="E9" s="7"/>
      <c r="F9" s="23">
        <v>1</v>
      </c>
      <c r="G9" s="23">
        <v>1</v>
      </c>
      <c r="H9" s="23">
        <v>1</v>
      </c>
    </row>
    <row r="10" spans="1:8" x14ac:dyDescent="0.25">
      <c r="A10" s="34"/>
      <c r="B10" s="28"/>
      <c r="C10" s="28"/>
      <c r="D10" s="28"/>
      <c r="E10" s="36"/>
      <c r="F10" s="30"/>
      <c r="G10" s="30"/>
      <c r="H10" s="33"/>
    </row>
    <row r="11" spans="1:8" x14ac:dyDescent="0.25">
      <c r="A11" s="25" t="s">
        <v>2</v>
      </c>
      <c r="B11" s="26">
        <f>VLOOKUP(A11, IncomeStatementData, 4, FALSE)</f>
        <v>212586</v>
      </c>
      <c r="C11" s="26">
        <f>VLOOKUP(A11, IncomeStatementData, 3, FALSE)</f>
        <v>222358</v>
      </c>
      <c r="D11" s="26">
        <f>VLOOKUP(A11, IncomeStatementData, 2, FALSE)</f>
        <v>239886</v>
      </c>
      <c r="E11" s="7"/>
      <c r="F11" s="27">
        <f>B11/B9</f>
        <v>0.87740311197325516</v>
      </c>
      <c r="G11" s="27">
        <f t="shared" ref="G11:H11" si="2">C11/C9</f>
        <v>0.87386668657866085</v>
      </c>
      <c r="H11" s="27">
        <f t="shared" si="2"/>
        <v>0.87156793285737644</v>
      </c>
    </row>
    <row r="12" spans="1:8" x14ac:dyDescent="0.25">
      <c r="A12" s="14" t="s">
        <v>22</v>
      </c>
      <c r="B12" s="15">
        <f>B9-B11</f>
        <v>29704</v>
      </c>
      <c r="C12" s="15">
        <f t="shared" ref="C12:D12" si="3">C9-C11</f>
        <v>32095</v>
      </c>
      <c r="D12" s="15">
        <f t="shared" si="3"/>
        <v>35349</v>
      </c>
      <c r="E12" s="7"/>
      <c r="F12" s="16">
        <f>B12/B9</f>
        <v>0.12259688802674482</v>
      </c>
      <c r="G12" s="16">
        <f t="shared" ref="G12:H12" si="4">C12/C9</f>
        <v>0.1261333134213391</v>
      </c>
      <c r="H12" s="16">
        <f t="shared" si="4"/>
        <v>0.12843206714262356</v>
      </c>
    </row>
    <row r="13" spans="1:8" x14ac:dyDescent="0.25">
      <c r="A13" s="14" t="s">
        <v>5</v>
      </c>
      <c r="B13" s="15">
        <f>VLOOKUP(A13, IncomeStatementData, 4, FALSE)</f>
        <v>21590</v>
      </c>
      <c r="C13" s="15">
        <f>VLOOKUP(A13, IncomeStatementData, 3, FALSE)</f>
        <v>22810</v>
      </c>
      <c r="D13" s="15">
        <f>VLOOKUP(A13, IncomeStatementData, 2, FALSE)</f>
        <v>24996</v>
      </c>
      <c r="E13" s="7"/>
      <c r="F13" s="16">
        <f>B13/B9</f>
        <v>8.910809360683479E-2</v>
      </c>
      <c r="G13" s="16">
        <f t="shared" ref="G13:H13" si="5">C13/C9</f>
        <v>8.964327400345054E-2</v>
      </c>
      <c r="H13" s="16">
        <f t="shared" si="5"/>
        <v>9.0816938252765822E-2</v>
      </c>
    </row>
    <row r="14" spans="1:8" x14ac:dyDescent="0.25">
      <c r="A14" s="21" t="s">
        <v>6</v>
      </c>
      <c r="B14" s="22">
        <f>VLOOKUP(A14, IncomeStatementData, 4, FALSE)</f>
        <v>8114</v>
      </c>
      <c r="C14" s="22">
        <f>VLOOKUP(A14, IncomeStatementData, 3, FALSE)</f>
        <v>9285</v>
      </c>
      <c r="D14" s="22">
        <f>VLOOKUP(A14, IncomeStatementData, 2, FALSE)</f>
        <v>10383</v>
      </c>
      <c r="E14" s="7"/>
      <c r="F14" s="24">
        <f>B14/B9</f>
        <v>3.3488794419910026E-2</v>
      </c>
      <c r="G14" s="24">
        <f t="shared" ref="G14:H14" si="6">C14/C9</f>
        <v>3.6490039417888566E-2</v>
      </c>
      <c r="H14" s="24">
        <f t="shared" si="6"/>
        <v>3.7724126655403561E-2</v>
      </c>
    </row>
    <row r="15" spans="1:8" x14ac:dyDescent="0.25">
      <c r="A15" s="35"/>
      <c r="B15" s="29"/>
      <c r="C15" s="29"/>
      <c r="D15" s="29"/>
      <c r="E15" s="36"/>
      <c r="F15" s="31"/>
      <c r="G15" s="31"/>
      <c r="H15" s="32"/>
    </row>
    <row r="16" spans="1:8" x14ac:dyDescent="0.25">
      <c r="A16" s="25" t="s">
        <v>7</v>
      </c>
      <c r="B16" s="26">
        <f>VLOOKUP(A16, IncomeStatementData, 4, FALSE)</f>
        <v>6292</v>
      </c>
      <c r="C16" s="26">
        <f>VLOOKUP(A16, IncomeStatementData, 3, FALSE)</f>
        <v>7367</v>
      </c>
      <c r="D16" s="26">
        <f>VLOOKUP(A16, IncomeStatementData, 2, FALSE)</f>
        <v>8099</v>
      </c>
      <c r="E16" s="18"/>
      <c r="F16" s="27">
        <f>B16/B9</f>
        <v>2.5968880267448098E-2</v>
      </c>
      <c r="G16" s="27">
        <f t="shared" ref="G16:H16" si="7">C16/C9</f>
        <v>2.8952301603832536E-2</v>
      </c>
      <c r="H16" s="27">
        <f t="shared" si="7"/>
        <v>2.9425763438516175E-2</v>
      </c>
    </row>
  </sheetData>
  <mergeCells count="1">
    <mergeCell ref="A1:H2"/>
  </mergeCells>
  <pageMargins left="0.7" right="0.7" top="0.75" bottom="0.75" header="0.3" footer="0.3"/>
  <ignoredErrors>
    <ignoredError sqref="B12:D1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81B27-6482-4F12-A42A-71C30572BEC7}">
  <dimension ref="A1:J15"/>
  <sheetViews>
    <sheetView workbookViewId="0">
      <selection activeCell="F6" sqref="F6:J6"/>
    </sheetView>
  </sheetViews>
  <sheetFormatPr defaultRowHeight="13.8" x14ac:dyDescent="0.25"/>
  <cols>
    <col min="1" max="1" width="23" customWidth="1"/>
    <col min="2" max="4" width="11.09765625" customWidth="1"/>
    <col min="5" max="5" width="5.5" customWidth="1"/>
    <col min="6" max="6" width="10.796875" customWidth="1"/>
    <col min="7" max="7" width="10.8984375" customWidth="1"/>
    <col min="8" max="8" width="5.69921875" customWidth="1"/>
    <col min="9" max="9" width="10.8984375" customWidth="1"/>
    <col min="10" max="10" width="10.796875" customWidth="1"/>
  </cols>
  <sheetData>
    <row r="1" spans="1:10" x14ac:dyDescent="0.25">
      <c r="A1" s="5" t="s">
        <v>56</v>
      </c>
      <c r="B1" s="5"/>
      <c r="C1" s="5"/>
      <c r="D1" s="5"/>
      <c r="E1" s="5"/>
      <c r="F1" s="5"/>
      <c r="G1" s="5"/>
      <c r="H1" s="5"/>
      <c r="I1" s="5"/>
      <c r="J1" s="5"/>
    </row>
    <row r="2" spans="1:10" x14ac:dyDescent="0.25">
      <c r="A2" s="5"/>
      <c r="B2" s="5"/>
      <c r="C2" s="5"/>
      <c r="D2" s="5"/>
      <c r="E2" s="5"/>
      <c r="F2" s="5"/>
      <c r="G2" s="5"/>
      <c r="H2" s="5"/>
      <c r="I2" s="5"/>
      <c r="J2" s="5"/>
    </row>
    <row r="3" spans="1:10" x14ac:dyDescent="0.25">
      <c r="A3" s="6"/>
      <c r="B3" s="6"/>
      <c r="C3" s="6"/>
      <c r="D3" s="6"/>
      <c r="E3" s="6"/>
      <c r="F3" s="6"/>
      <c r="G3" s="6"/>
      <c r="H3" s="6"/>
      <c r="I3" s="6"/>
      <c r="J3" s="6"/>
    </row>
    <row r="5" spans="1:10" x14ac:dyDescent="0.25">
      <c r="A5" s="2" t="s">
        <v>63</v>
      </c>
      <c r="F5" s="41" t="s">
        <v>24</v>
      </c>
      <c r="G5" s="42"/>
      <c r="H5" s="17"/>
      <c r="I5" s="43" t="s">
        <v>25</v>
      </c>
      <c r="J5" s="41"/>
    </row>
    <row r="6" spans="1:10" x14ac:dyDescent="0.25">
      <c r="A6" s="8"/>
      <c r="B6" s="8">
        <v>2023</v>
      </c>
      <c r="C6" s="8">
        <v>2024</v>
      </c>
      <c r="D6" s="8">
        <v>2025</v>
      </c>
      <c r="E6" s="17"/>
      <c r="F6" s="51" t="s">
        <v>26</v>
      </c>
      <c r="G6" s="51" t="s">
        <v>27</v>
      </c>
      <c r="H6" s="52"/>
      <c r="I6" s="51" t="s">
        <v>26</v>
      </c>
      <c r="J6" s="51" t="s">
        <v>27</v>
      </c>
    </row>
    <row r="7" spans="1:10" x14ac:dyDescent="0.25">
      <c r="A7" s="14" t="s">
        <v>12</v>
      </c>
      <c r="B7" s="15">
        <f t="shared" ref="B7:B15" si="0">VLOOKUP(A7, BalanceSheetData, 4, FALSE)</f>
        <v>13700</v>
      </c>
      <c r="C7" s="15">
        <f t="shared" ref="C7:C15" si="1">VLOOKUP(A7, BalanceSheetData, 3, FALSE)</f>
        <v>9906</v>
      </c>
      <c r="D7" s="15">
        <f t="shared" ref="D7:D15" si="2">VLOOKUP(A7, BalanceSheetData, 2, FALSE)</f>
        <v>14161</v>
      </c>
      <c r="E7" s="7"/>
      <c r="F7" s="15">
        <f>C7-B7</f>
        <v>-3794</v>
      </c>
      <c r="G7" s="15">
        <f>D7-C7</f>
        <v>4255</v>
      </c>
      <c r="H7" s="7"/>
      <c r="I7" s="16">
        <f>F7/B7</f>
        <v>-0.27693430656934309</v>
      </c>
      <c r="J7" s="16">
        <f>G7/C7</f>
        <v>0.42953765394710275</v>
      </c>
    </row>
    <row r="8" spans="1:10" x14ac:dyDescent="0.25">
      <c r="A8" s="14" t="s">
        <v>13</v>
      </c>
      <c r="B8" s="15">
        <f t="shared" si="0"/>
        <v>16651</v>
      </c>
      <c r="C8" s="15">
        <f t="shared" si="1"/>
        <v>18647</v>
      </c>
      <c r="D8" s="15">
        <f t="shared" si="2"/>
        <v>18116</v>
      </c>
      <c r="E8" s="7"/>
      <c r="F8" s="15">
        <f t="shared" ref="F8:F15" si="3">C8-B8</f>
        <v>1996</v>
      </c>
      <c r="G8" s="15">
        <f t="shared" ref="G8:G15" si="4">D8-C8</f>
        <v>-531</v>
      </c>
      <c r="H8" s="7"/>
      <c r="I8" s="16">
        <f t="shared" ref="I8:I15" si="5">F8/B8</f>
        <v>0.11987268031950032</v>
      </c>
      <c r="J8" s="16">
        <f t="shared" ref="J8:J15" si="6">G8/C8</f>
        <v>-2.8476430525017429E-2</v>
      </c>
    </row>
    <row r="9" spans="1:10" x14ac:dyDescent="0.25">
      <c r="A9" s="14" t="s">
        <v>10</v>
      </c>
      <c r="B9" s="15">
        <f t="shared" si="0"/>
        <v>35879</v>
      </c>
      <c r="C9" s="15">
        <f t="shared" si="1"/>
        <v>34246</v>
      </c>
      <c r="D9" s="15">
        <f t="shared" si="2"/>
        <v>38380</v>
      </c>
      <c r="E9" s="7"/>
      <c r="F9" s="15">
        <f t="shared" si="3"/>
        <v>-1633</v>
      </c>
      <c r="G9" s="15">
        <f t="shared" si="4"/>
        <v>4134</v>
      </c>
      <c r="H9" s="7"/>
      <c r="I9" s="16">
        <f t="shared" si="5"/>
        <v>-4.5514089021433148E-2</v>
      </c>
      <c r="J9" s="16">
        <f t="shared" si="6"/>
        <v>0.12071482800911056</v>
      </c>
    </row>
    <row r="10" spans="1:10" x14ac:dyDescent="0.25">
      <c r="A10" s="14" t="s">
        <v>11</v>
      </c>
      <c r="B10" s="15">
        <f t="shared" si="0"/>
        <v>68994</v>
      </c>
      <c r="C10" s="15">
        <f t="shared" si="1"/>
        <v>69831</v>
      </c>
      <c r="D10" s="15">
        <f t="shared" si="2"/>
        <v>77099</v>
      </c>
      <c r="E10" s="7"/>
      <c r="F10" s="15">
        <f t="shared" si="3"/>
        <v>837</v>
      </c>
      <c r="G10" s="15">
        <f t="shared" si="4"/>
        <v>7268</v>
      </c>
      <c r="H10" s="7"/>
      <c r="I10" s="16">
        <f t="shared" si="5"/>
        <v>1.2131489694756066E-2</v>
      </c>
      <c r="J10" s="16">
        <f t="shared" si="6"/>
        <v>0.10407984992338647</v>
      </c>
    </row>
    <row r="11" spans="1:10" x14ac:dyDescent="0.25">
      <c r="A11" s="14"/>
      <c r="B11" s="15"/>
      <c r="C11" s="15"/>
      <c r="D11" s="15"/>
      <c r="E11" s="7"/>
      <c r="F11" s="15"/>
      <c r="G11" s="15"/>
      <c r="H11" s="7"/>
      <c r="I11" s="16"/>
      <c r="J11" s="16"/>
    </row>
    <row r="12" spans="1:10" x14ac:dyDescent="0.25">
      <c r="A12" s="14" t="s">
        <v>14</v>
      </c>
      <c r="B12" s="15">
        <f t="shared" si="0"/>
        <v>33583</v>
      </c>
      <c r="C12" s="15">
        <f t="shared" si="1"/>
        <v>35464</v>
      </c>
      <c r="D12" s="15">
        <f t="shared" si="2"/>
        <v>37108</v>
      </c>
      <c r="E12" s="7"/>
      <c r="F12" s="15">
        <f t="shared" si="3"/>
        <v>1881</v>
      </c>
      <c r="G12" s="15">
        <f t="shared" si="4"/>
        <v>1644</v>
      </c>
      <c r="H12" s="7"/>
      <c r="I12" s="16">
        <f t="shared" si="5"/>
        <v>5.6010481493612839E-2</v>
      </c>
      <c r="J12" s="16">
        <f t="shared" si="6"/>
        <v>4.6356868937514097E-2</v>
      </c>
    </row>
    <row r="13" spans="1:10" x14ac:dyDescent="0.25">
      <c r="A13" s="14" t="s">
        <v>15</v>
      </c>
      <c r="B13" s="15">
        <f t="shared" si="0"/>
        <v>43936</v>
      </c>
      <c r="C13" s="15">
        <f t="shared" si="1"/>
        <v>46209</v>
      </c>
      <c r="D13" s="15">
        <f t="shared" si="2"/>
        <v>47935</v>
      </c>
      <c r="E13" s="7"/>
      <c r="F13" s="15">
        <f t="shared" si="3"/>
        <v>2273</v>
      </c>
      <c r="G13" s="15">
        <f t="shared" si="4"/>
        <v>1726</v>
      </c>
      <c r="H13" s="7"/>
      <c r="I13" s="16">
        <f t="shared" si="5"/>
        <v>5.1734340859431904E-2</v>
      </c>
      <c r="J13" s="16">
        <f t="shared" si="6"/>
        <v>3.7352030989634057E-2</v>
      </c>
    </row>
    <row r="14" spans="1:10" x14ac:dyDescent="0.25">
      <c r="A14" s="14"/>
      <c r="B14" s="15"/>
      <c r="C14" s="15"/>
      <c r="D14" s="15"/>
      <c r="E14" s="7"/>
      <c r="F14" s="15"/>
      <c r="G14" s="15"/>
      <c r="H14" s="7"/>
      <c r="I14" s="16"/>
      <c r="J14" s="16"/>
    </row>
    <row r="15" spans="1:10" x14ac:dyDescent="0.25">
      <c r="A15" s="14" t="s">
        <v>16</v>
      </c>
      <c r="B15" s="15">
        <f t="shared" si="0"/>
        <v>25058</v>
      </c>
      <c r="C15" s="15">
        <f t="shared" si="1"/>
        <v>23622</v>
      </c>
      <c r="D15" s="15">
        <f t="shared" si="2"/>
        <v>29164</v>
      </c>
      <c r="E15" s="18"/>
      <c r="F15" s="15">
        <f t="shared" si="3"/>
        <v>-1436</v>
      </c>
      <c r="G15" s="15">
        <f t="shared" si="4"/>
        <v>5542</v>
      </c>
      <c r="H15" s="18"/>
      <c r="I15" s="16">
        <f t="shared" si="5"/>
        <v>-5.7307047649453269E-2</v>
      </c>
      <c r="J15" s="16">
        <f t="shared" si="6"/>
        <v>0.23461180255693845</v>
      </c>
    </row>
  </sheetData>
  <mergeCells count="3">
    <mergeCell ref="A1:J2"/>
    <mergeCell ref="F5:G5"/>
    <mergeCell ref="I5:J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9076-C475-496A-BDFF-3B971AC8D518}">
  <dimension ref="A1:J13"/>
  <sheetViews>
    <sheetView workbookViewId="0">
      <selection activeCell="F6" sqref="F6:J6"/>
    </sheetView>
  </sheetViews>
  <sheetFormatPr defaultRowHeight="13.8" x14ac:dyDescent="0.25"/>
  <cols>
    <col min="1" max="1" width="25.5" customWidth="1"/>
    <col min="3" max="3" width="9.09765625" customWidth="1"/>
    <col min="6" max="6" width="10.3984375" customWidth="1"/>
    <col min="7" max="7" width="10.09765625" customWidth="1"/>
    <col min="9" max="9" width="10.19921875" customWidth="1"/>
    <col min="10" max="10" width="10.296875" customWidth="1"/>
  </cols>
  <sheetData>
    <row r="1" spans="1:10" x14ac:dyDescent="0.25">
      <c r="A1" s="5" t="s">
        <v>60</v>
      </c>
      <c r="B1" s="5"/>
      <c r="C1" s="5"/>
      <c r="D1" s="5"/>
      <c r="E1" s="5"/>
      <c r="F1" s="5"/>
      <c r="G1" s="5"/>
      <c r="H1" s="5"/>
      <c r="I1" s="5"/>
      <c r="J1" s="5"/>
    </row>
    <row r="2" spans="1:10" x14ac:dyDescent="0.25">
      <c r="A2" s="5"/>
      <c r="B2" s="5"/>
      <c r="C2" s="5"/>
      <c r="D2" s="5"/>
      <c r="E2" s="5"/>
      <c r="F2" s="5"/>
      <c r="G2" s="5"/>
      <c r="H2" s="5"/>
      <c r="I2" s="5"/>
      <c r="J2" s="5"/>
    </row>
    <row r="3" spans="1:10" x14ac:dyDescent="0.25">
      <c r="A3" s="6"/>
      <c r="B3" s="6"/>
      <c r="C3" s="6"/>
      <c r="D3" s="6"/>
      <c r="E3" s="6"/>
      <c r="F3" s="6"/>
      <c r="G3" s="6"/>
      <c r="H3" s="6"/>
      <c r="I3" s="6"/>
      <c r="J3" s="6"/>
    </row>
    <row r="5" spans="1:10" x14ac:dyDescent="0.25">
      <c r="A5" s="2" t="s">
        <v>63</v>
      </c>
      <c r="F5" s="40" t="s">
        <v>24</v>
      </c>
      <c r="G5" s="7"/>
      <c r="H5" s="17"/>
      <c r="I5" s="40" t="s">
        <v>25</v>
      </c>
      <c r="J5" s="7"/>
    </row>
    <row r="6" spans="1:10" x14ac:dyDescent="0.25">
      <c r="A6" s="8"/>
      <c r="B6" s="8">
        <v>2023</v>
      </c>
      <c r="C6" s="8">
        <v>2024</v>
      </c>
      <c r="D6" s="8">
        <v>2025</v>
      </c>
      <c r="E6" s="44"/>
      <c r="F6" s="51" t="s">
        <v>26</v>
      </c>
      <c r="G6" s="51" t="s">
        <v>27</v>
      </c>
      <c r="H6" s="52"/>
      <c r="I6" s="51" t="s">
        <v>26</v>
      </c>
      <c r="J6" s="51" t="s">
        <v>27</v>
      </c>
    </row>
    <row r="7" spans="1:10" x14ac:dyDescent="0.25">
      <c r="A7" s="14" t="s">
        <v>18</v>
      </c>
      <c r="B7" s="15">
        <f t="shared" ref="B7:B13" si="0">VLOOKUP(A7, CashFlowData, 4, FALSE)</f>
        <v>11068</v>
      </c>
      <c r="C7" s="15">
        <f t="shared" ref="C7:C13" si="1">VLOOKUP(A7, CashFlowData, 3, FALSE)</f>
        <v>11339</v>
      </c>
      <c r="D7" s="15">
        <f t="shared" ref="D7:D13" si="2">VLOOKUP(A7, CashFlowData, 2, FALSE)</f>
        <v>13335</v>
      </c>
      <c r="E7" s="7"/>
      <c r="F7" s="15">
        <f>C7-B7</f>
        <v>271</v>
      </c>
      <c r="G7" s="15">
        <f>D7-C7</f>
        <v>1996</v>
      </c>
      <c r="H7" s="7"/>
      <c r="I7" s="16">
        <f>F7/B7</f>
        <v>2.4485001807011204E-2</v>
      </c>
      <c r="J7" s="16">
        <f>G7/C7</f>
        <v>0.17602963224270218</v>
      </c>
    </row>
    <row r="8" spans="1:10" x14ac:dyDescent="0.25">
      <c r="A8" s="14" t="s">
        <v>19</v>
      </c>
      <c r="B8" s="15">
        <f t="shared" si="0"/>
        <v>-4972</v>
      </c>
      <c r="C8" s="15">
        <f t="shared" si="1"/>
        <v>-4409</v>
      </c>
      <c r="D8" s="15">
        <f t="shared" si="2"/>
        <v>-5311</v>
      </c>
      <c r="E8" s="7"/>
      <c r="F8" s="15">
        <f t="shared" ref="F8:F13" si="3">C8-B8</f>
        <v>563</v>
      </c>
      <c r="G8" s="15">
        <f t="shared" ref="G8:G13" si="4">D8-C8</f>
        <v>-902</v>
      </c>
      <c r="H8" s="7"/>
      <c r="I8" s="16">
        <f t="shared" ref="I8:I13" si="5">F8/B8</f>
        <v>-0.11323411102172164</v>
      </c>
      <c r="J8" s="16">
        <f t="shared" ref="J8:J13" si="6">G8/C8</f>
        <v>0.20458153776366522</v>
      </c>
    </row>
    <row r="9" spans="1:10" x14ac:dyDescent="0.25">
      <c r="A9" s="14" t="s">
        <v>20</v>
      </c>
      <c r="B9" s="15">
        <f t="shared" si="0"/>
        <v>-2614</v>
      </c>
      <c r="C9" s="15">
        <f t="shared" si="1"/>
        <v>-10764</v>
      </c>
      <c r="D9" s="15">
        <f t="shared" si="2"/>
        <v>-3775</v>
      </c>
      <c r="E9" s="7"/>
      <c r="F9" s="15">
        <f t="shared" si="3"/>
        <v>-8150</v>
      </c>
      <c r="G9" s="15">
        <f t="shared" si="4"/>
        <v>6989</v>
      </c>
      <c r="H9" s="7"/>
      <c r="I9" s="16">
        <f t="shared" si="5"/>
        <v>3.1178270849273146</v>
      </c>
      <c r="J9" s="16">
        <f t="shared" si="6"/>
        <v>-0.64929394277220365</v>
      </c>
    </row>
    <row r="10" spans="1:10" x14ac:dyDescent="0.25">
      <c r="A10" s="14" t="s">
        <v>21</v>
      </c>
      <c r="B10" s="15">
        <f t="shared" si="0"/>
        <v>170</v>
      </c>
      <c r="C10" s="15">
        <f t="shared" si="1"/>
        <v>203</v>
      </c>
      <c r="D10" s="15">
        <f t="shared" si="2"/>
        <v>193</v>
      </c>
      <c r="E10" s="7"/>
      <c r="F10" s="15">
        <f t="shared" si="3"/>
        <v>33</v>
      </c>
      <c r="G10" s="15">
        <f t="shared" si="4"/>
        <v>-10</v>
      </c>
      <c r="H10" s="7"/>
      <c r="I10" s="16">
        <f t="shared" si="5"/>
        <v>0.19411764705882353</v>
      </c>
      <c r="J10" s="16">
        <f t="shared" si="6"/>
        <v>-4.9261083743842367E-2</v>
      </c>
    </row>
    <row r="11" spans="1:10" x14ac:dyDescent="0.25">
      <c r="A11" s="13"/>
      <c r="B11" s="3"/>
      <c r="C11" s="3"/>
      <c r="D11" s="3"/>
      <c r="E11" s="36"/>
      <c r="F11" s="3"/>
      <c r="G11" s="3"/>
      <c r="H11" s="36"/>
      <c r="I11" s="4"/>
      <c r="J11" s="4"/>
    </row>
    <row r="12" spans="1:10" x14ac:dyDescent="0.25">
      <c r="A12" s="14" t="s">
        <v>28</v>
      </c>
      <c r="B12" s="15">
        <f t="shared" si="0"/>
        <v>10203</v>
      </c>
      <c r="C12" s="15">
        <f t="shared" si="1"/>
        <v>13700</v>
      </c>
      <c r="D12" s="15">
        <f t="shared" si="2"/>
        <v>9906</v>
      </c>
      <c r="E12" s="7"/>
      <c r="F12" s="15">
        <f t="shared" si="3"/>
        <v>3497</v>
      </c>
      <c r="G12" s="15">
        <f t="shared" si="4"/>
        <v>-3794</v>
      </c>
      <c r="H12" s="7"/>
      <c r="I12" s="16">
        <f t="shared" si="5"/>
        <v>0.34274233068705284</v>
      </c>
      <c r="J12" s="16">
        <f t="shared" si="6"/>
        <v>-0.27693430656934309</v>
      </c>
    </row>
    <row r="13" spans="1:10" x14ac:dyDescent="0.25">
      <c r="A13" s="14" t="s">
        <v>29</v>
      </c>
      <c r="B13" s="15">
        <f t="shared" si="0"/>
        <v>13700</v>
      </c>
      <c r="C13" s="15">
        <f t="shared" si="1"/>
        <v>9906</v>
      </c>
      <c r="D13" s="15">
        <f t="shared" si="2"/>
        <v>14161</v>
      </c>
      <c r="E13" s="18"/>
      <c r="F13" s="15">
        <f t="shared" si="3"/>
        <v>-3794</v>
      </c>
      <c r="G13" s="15">
        <f t="shared" si="4"/>
        <v>4255</v>
      </c>
      <c r="H13" s="18"/>
      <c r="I13" s="16">
        <f t="shared" si="5"/>
        <v>-0.27693430656934309</v>
      </c>
      <c r="J13" s="16">
        <f t="shared" si="6"/>
        <v>0.42953765394710275</v>
      </c>
    </row>
  </sheetData>
  <mergeCells count="1">
    <mergeCell ref="A1: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8D88-EA1A-4712-8A6D-54551DDE2AF8}">
  <dimension ref="A1:E24"/>
  <sheetViews>
    <sheetView tabSelected="1" workbookViewId="0">
      <selection activeCell="A22" sqref="A22:D22"/>
    </sheetView>
  </sheetViews>
  <sheetFormatPr defaultRowHeight="13.8" x14ac:dyDescent="0.25"/>
  <cols>
    <col min="1" max="1" width="24.296875" customWidth="1"/>
    <col min="2" max="2" width="11.8984375" customWidth="1"/>
    <col min="4" max="4" width="23" customWidth="1"/>
  </cols>
  <sheetData>
    <row r="1" spans="1:5" x14ac:dyDescent="0.25">
      <c r="A1" s="5" t="s">
        <v>48</v>
      </c>
      <c r="B1" s="5"/>
      <c r="C1" s="5"/>
      <c r="D1" s="5"/>
      <c r="E1" s="5"/>
    </row>
    <row r="2" spans="1:5" x14ac:dyDescent="0.25">
      <c r="A2" s="5"/>
      <c r="B2" s="5"/>
      <c r="C2" s="5"/>
      <c r="D2" s="5"/>
      <c r="E2" s="5"/>
    </row>
    <row r="3" spans="1:5" x14ac:dyDescent="0.25">
      <c r="A3" s="6"/>
      <c r="B3" s="6"/>
      <c r="C3" s="6"/>
      <c r="D3" s="6"/>
      <c r="E3" s="6"/>
    </row>
    <row r="5" spans="1:5" x14ac:dyDescent="0.25">
      <c r="A5" s="12" t="s">
        <v>30</v>
      </c>
      <c r="B5" s="8"/>
      <c r="D5" s="12" t="s">
        <v>33</v>
      </c>
      <c r="E5" s="8"/>
    </row>
    <row r="6" spans="1:5" x14ac:dyDescent="0.25">
      <c r="A6" s="9" t="s">
        <v>31</v>
      </c>
      <c r="B6" s="10">
        <f>('Raw Data'!G2+'Raw Data'!G9+'Raw Data'!G10)/'Raw Data'!G6</f>
        <v>0.49819445941575941</v>
      </c>
      <c r="D6" s="9" t="s">
        <v>34</v>
      </c>
      <c r="E6" s="10">
        <f>'Raw Data'!G7/'Raw Data'!G8</f>
        <v>1.6436359895761898</v>
      </c>
    </row>
    <row r="7" spans="1:5" x14ac:dyDescent="0.25">
      <c r="A7" s="9" t="s">
        <v>42</v>
      </c>
      <c r="B7" s="10">
        <f>'Raw Data'!G2/'Raw Data'!G6</f>
        <v>0.38161582408106071</v>
      </c>
      <c r="D7" s="9" t="s">
        <v>35</v>
      </c>
      <c r="E7" s="10">
        <f>'Raw Data'!G7/'Raw Data'!G5</f>
        <v>0.62173309640851371</v>
      </c>
    </row>
    <row r="8" spans="1:5" x14ac:dyDescent="0.25">
      <c r="A8" s="9" t="s">
        <v>32</v>
      </c>
      <c r="B8" s="10">
        <f>'Raw Data'!G4/'Raw Data'!G6</f>
        <v>1.0342783227336423</v>
      </c>
      <c r="D8" s="9" t="s">
        <v>36</v>
      </c>
      <c r="E8" s="10">
        <f>'Raw Data'!G7/('Raw Data'!B7+'Raw Data'!L8)</f>
        <v>3.7422905769380903</v>
      </c>
    </row>
    <row r="9" spans="1:5" x14ac:dyDescent="0.25">
      <c r="A9" s="9" t="s">
        <v>55</v>
      </c>
      <c r="B9" s="11">
        <f>'Raw Data'!G4-'Raw Data'!G6</f>
        <v>1272</v>
      </c>
      <c r="D9" s="9" t="s">
        <v>37</v>
      </c>
      <c r="E9" s="10">
        <f>ABS('Raw Data'!B7/'Raw Data'!B9)</f>
        <v>67.422077922077918</v>
      </c>
    </row>
    <row r="13" spans="1:5" x14ac:dyDescent="0.25">
      <c r="A13" s="12" t="s">
        <v>38</v>
      </c>
      <c r="B13" s="8"/>
      <c r="D13" s="12" t="s">
        <v>43</v>
      </c>
      <c r="E13" s="8"/>
    </row>
    <row r="14" spans="1:5" x14ac:dyDescent="0.25">
      <c r="A14" s="9" t="s">
        <v>39</v>
      </c>
      <c r="B14" s="10">
        <f>'Raw Data'!B5/(('Raw Data'!G3+'Raw Data'!H3)/2)</f>
        <v>13.050403938742758</v>
      </c>
      <c r="D14" s="9" t="s">
        <v>44</v>
      </c>
      <c r="E14" s="10">
        <f>('Raw Data'!B2-'Raw Data'!B5)/'Raw Data'!B2</f>
        <v>0.11124366460179615</v>
      </c>
    </row>
    <row r="15" spans="1:5" x14ac:dyDescent="0.25">
      <c r="A15" s="9" t="s">
        <v>40</v>
      </c>
      <c r="B15" s="10">
        <f>((('Raw Data'!G10+'Raw Data'!H10)/2)/'Raw Data'!B2)*365</f>
        <v>4.0054906784433442</v>
      </c>
      <c r="D15" s="9" t="s">
        <v>45</v>
      </c>
      <c r="E15" s="10">
        <f>'Raw Data'!B8/'Raw Data'!B2</f>
        <v>3.0006076054417737E-2</v>
      </c>
    </row>
    <row r="16" spans="1:5" x14ac:dyDescent="0.25">
      <c r="A16" s="9" t="s">
        <v>41</v>
      </c>
      <c r="B16" s="10">
        <f>((('Raw Data'!G11+'Raw Data'!H11)/2)/'Raw Data'!B5)*365</f>
        <v>29.825542132512943</v>
      </c>
      <c r="D16" s="9" t="s">
        <v>46</v>
      </c>
      <c r="E16" s="10">
        <f>'Raw Data'!B8/'Raw Data'!G5</f>
        <v>0.10504675806430692</v>
      </c>
    </row>
    <row r="17" spans="1:5" x14ac:dyDescent="0.25">
      <c r="A17" s="9" t="s">
        <v>52</v>
      </c>
      <c r="B17" s="10">
        <f>'Raw Data'!B2/(('Raw Data'!G5+'Raw Data'!H5)/2)</f>
        <v>3.6740216429592323</v>
      </c>
      <c r="D17" s="9" t="s">
        <v>47</v>
      </c>
      <c r="E17" s="10">
        <f>'Raw Data'!B8/'Raw Data'!G8</f>
        <v>0.27770539020710466</v>
      </c>
    </row>
    <row r="19" spans="1:5" x14ac:dyDescent="0.25">
      <c r="A19" s="50" t="s">
        <v>67</v>
      </c>
      <c r="B19" s="50"/>
      <c r="C19" s="50"/>
      <c r="D19" s="50"/>
    </row>
    <row r="20" spans="1:5" x14ac:dyDescent="0.25">
      <c r="A20" s="46" t="s">
        <v>68</v>
      </c>
      <c r="B20" s="46"/>
      <c r="C20" s="46"/>
      <c r="D20" s="46"/>
    </row>
    <row r="21" spans="1:5" x14ac:dyDescent="0.25">
      <c r="A21" s="46" t="s">
        <v>75</v>
      </c>
      <c r="B21" s="46"/>
      <c r="C21" s="46"/>
      <c r="D21" s="46"/>
    </row>
    <row r="22" spans="1:5" x14ac:dyDescent="0.25">
      <c r="A22" s="53" t="s">
        <v>74</v>
      </c>
      <c r="B22" s="54"/>
      <c r="C22" s="54"/>
      <c r="D22" s="55"/>
    </row>
    <row r="23" spans="1:5" x14ac:dyDescent="0.25">
      <c r="A23" s="46" t="s">
        <v>69</v>
      </c>
      <c r="B23" s="46"/>
      <c r="C23" s="46"/>
      <c r="D23" s="46"/>
    </row>
    <row r="24" spans="1:5" x14ac:dyDescent="0.25">
      <c r="A24" s="46" t="s">
        <v>70</v>
      </c>
      <c r="B24" s="46"/>
      <c r="C24" s="46"/>
      <c r="D24" s="46"/>
    </row>
  </sheetData>
  <mergeCells count="7">
    <mergeCell ref="A23:D23"/>
    <mergeCell ref="A24:D24"/>
    <mergeCell ref="A22:D22"/>
    <mergeCell ref="A1:E2"/>
    <mergeCell ref="A19:D19"/>
    <mergeCell ref="A20:D20"/>
    <mergeCell ref="A21:D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9374-3EB6-4860-A494-9C79A26EF463}">
  <dimension ref="A1"/>
  <sheetViews>
    <sheetView workbookViewId="0">
      <selection activeCell="L25" sqref="L25"/>
    </sheetView>
  </sheetViews>
  <sheetFormatPr defaultRowHeight="13.8"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14461-5035-4337-90BD-447A952694E5}">
  <dimension ref="A1:N15"/>
  <sheetViews>
    <sheetView workbookViewId="0">
      <selection activeCell="A14" sqref="A14"/>
    </sheetView>
  </sheetViews>
  <sheetFormatPr defaultRowHeight="13.8" x14ac:dyDescent="0.25"/>
  <cols>
    <col min="1" max="1" width="16.796875" customWidth="1"/>
    <col min="2" max="4" width="13.296875" customWidth="1"/>
    <col min="6" max="6" width="22.3984375" customWidth="1"/>
    <col min="7" max="9" width="11.09765625" customWidth="1"/>
    <col min="11" max="11" width="24.796875" customWidth="1"/>
    <col min="12" max="12" width="11.09765625" customWidth="1"/>
    <col min="13" max="13" width="11.69921875" customWidth="1"/>
    <col min="14" max="14" width="11.09765625" customWidth="1"/>
  </cols>
  <sheetData>
    <row r="1" spans="1:14" x14ac:dyDescent="0.25">
      <c r="A1" s="37" t="s">
        <v>0</v>
      </c>
      <c r="B1" s="37">
        <v>2025</v>
      </c>
      <c r="C1" s="37">
        <v>2024</v>
      </c>
      <c r="D1" s="37">
        <v>2023</v>
      </c>
      <c r="F1" s="37" t="s">
        <v>9</v>
      </c>
      <c r="G1" s="37">
        <v>2025</v>
      </c>
      <c r="H1" s="37">
        <v>2024</v>
      </c>
      <c r="I1" s="37">
        <v>2023</v>
      </c>
      <c r="K1" s="37" t="s">
        <v>17</v>
      </c>
      <c r="L1" s="37">
        <v>2025</v>
      </c>
      <c r="M1" s="37">
        <v>2024</v>
      </c>
      <c r="N1" s="37">
        <v>2023</v>
      </c>
    </row>
    <row r="2" spans="1:14" x14ac:dyDescent="0.25">
      <c r="A2" s="38" t="s">
        <v>1</v>
      </c>
      <c r="B2" s="15">
        <v>269912</v>
      </c>
      <c r="C2" s="15">
        <v>249625</v>
      </c>
      <c r="D2" s="15">
        <v>237710</v>
      </c>
      <c r="F2" s="38" t="s">
        <v>12</v>
      </c>
      <c r="G2" s="15">
        <v>14161</v>
      </c>
      <c r="H2" s="15">
        <v>9906</v>
      </c>
      <c r="I2" s="15">
        <v>13700</v>
      </c>
      <c r="K2" s="38" t="s">
        <v>18</v>
      </c>
      <c r="L2" s="15">
        <v>13335</v>
      </c>
      <c r="M2" s="15">
        <v>11339</v>
      </c>
      <c r="N2" s="15">
        <v>11068</v>
      </c>
    </row>
    <row r="3" spans="1:14" x14ac:dyDescent="0.25">
      <c r="A3" s="38" t="s">
        <v>3</v>
      </c>
      <c r="B3" s="39">
        <v>5323</v>
      </c>
      <c r="C3" s="39">
        <v>4828</v>
      </c>
      <c r="D3" s="39">
        <v>4580</v>
      </c>
      <c r="F3" s="38" t="s">
        <v>13</v>
      </c>
      <c r="G3" s="39">
        <v>18116</v>
      </c>
      <c r="H3" s="39">
        <v>18647</v>
      </c>
      <c r="I3" s="39">
        <v>16651</v>
      </c>
      <c r="K3" s="38" t="s">
        <v>19</v>
      </c>
      <c r="L3" s="39">
        <v>-5311</v>
      </c>
      <c r="M3" s="39">
        <v>-4409</v>
      </c>
      <c r="N3" s="39">
        <v>-4972</v>
      </c>
    </row>
    <row r="4" spans="1:14" x14ac:dyDescent="0.25">
      <c r="A4" s="38" t="s">
        <v>4</v>
      </c>
      <c r="B4" s="39">
        <v>275235</v>
      </c>
      <c r="C4" s="39">
        <v>254453</v>
      </c>
      <c r="D4" s="39">
        <v>242290</v>
      </c>
      <c r="F4" s="38" t="s">
        <v>10</v>
      </c>
      <c r="G4" s="39">
        <v>38380</v>
      </c>
      <c r="H4" s="39">
        <v>34246</v>
      </c>
      <c r="I4" s="39">
        <v>35879</v>
      </c>
      <c r="K4" s="38" t="s">
        <v>20</v>
      </c>
      <c r="L4" s="39">
        <v>-3775</v>
      </c>
      <c r="M4" s="39">
        <v>-10764</v>
      </c>
      <c r="N4" s="39">
        <v>-2614</v>
      </c>
    </row>
    <row r="5" spans="1:14" x14ac:dyDescent="0.25">
      <c r="A5" s="38" t="s">
        <v>2</v>
      </c>
      <c r="B5" s="39">
        <v>239886</v>
      </c>
      <c r="C5" s="39">
        <v>222358</v>
      </c>
      <c r="D5" s="39">
        <v>212586</v>
      </c>
      <c r="F5" s="38" t="s">
        <v>11</v>
      </c>
      <c r="G5" s="39">
        <v>77099</v>
      </c>
      <c r="H5" s="39">
        <v>69831</v>
      </c>
      <c r="I5" s="39">
        <v>68994</v>
      </c>
      <c r="K5" s="38" t="s">
        <v>21</v>
      </c>
      <c r="L5" s="39">
        <v>193</v>
      </c>
      <c r="M5" s="39">
        <v>203</v>
      </c>
      <c r="N5" s="39">
        <v>170</v>
      </c>
    </row>
    <row r="6" spans="1:14" x14ac:dyDescent="0.25">
      <c r="A6" s="38" t="s">
        <v>5</v>
      </c>
      <c r="B6" s="39">
        <v>24996</v>
      </c>
      <c r="C6" s="39">
        <v>22810</v>
      </c>
      <c r="D6" s="39">
        <v>21590</v>
      </c>
      <c r="F6" s="38" t="s">
        <v>14</v>
      </c>
      <c r="G6" s="39">
        <v>37108</v>
      </c>
      <c r="H6" s="39">
        <v>35464</v>
      </c>
      <c r="I6" s="39">
        <v>33583</v>
      </c>
      <c r="K6" s="38" t="s">
        <v>28</v>
      </c>
      <c r="L6" s="39">
        <v>9906</v>
      </c>
      <c r="M6" s="39">
        <v>13700</v>
      </c>
      <c r="N6" s="39">
        <v>10203</v>
      </c>
    </row>
    <row r="7" spans="1:14" x14ac:dyDescent="0.25">
      <c r="A7" s="38" t="s">
        <v>6</v>
      </c>
      <c r="B7" s="39">
        <v>10383</v>
      </c>
      <c r="C7" s="39">
        <v>9285</v>
      </c>
      <c r="D7" s="39">
        <v>8114</v>
      </c>
      <c r="F7" s="38" t="s">
        <v>15</v>
      </c>
      <c r="G7" s="39">
        <v>47935</v>
      </c>
      <c r="H7" s="39">
        <v>46209</v>
      </c>
      <c r="I7" s="39">
        <v>43936</v>
      </c>
      <c r="K7" s="38" t="s">
        <v>29</v>
      </c>
      <c r="L7" s="39">
        <v>14161</v>
      </c>
      <c r="M7" s="39">
        <v>9906</v>
      </c>
      <c r="N7" s="39">
        <v>13700</v>
      </c>
    </row>
    <row r="8" spans="1:14" x14ac:dyDescent="0.25">
      <c r="A8" s="38" t="s">
        <v>7</v>
      </c>
      <c r="B8" s="39">
        <v>8099</v>
      </c>
      <c r="C8" s="39">
        <v>7367</v>
      </c>
      <c r="D8" s="39">
        <v>6292</v>
      </c>
      <c r="F8" s="38" t="s">
        <v>16</v>
      </c>
      <c r="G8" s="39">
        <v>29164</v>
      </c>
      <c r="H8" s="39">
        <v>23622</v>
      </c>
      <c r="I8" s="39">
        <v>25058</v>
      </c>
      <c r="K8" s="38" t="s">
        <v>53</v>
      </c>
      <c r="L8" s="39">
        <v>2426</v>
      </c>
      <c r="M8" s="9"/>
      <c r="N8" s="9"/>
    </row>
    <row r="9" spans="1:14" x14ac:dyDescent="0.25">
      <c r="A9" s="38" t="s">
        <v>54</v>
      </c>
      <c r="B9" s="39">
        <v>-154</v>
      </c>
      <c r="C9" s="9"/>
      <c r="D9" s="9"/>
      <c r="F9" s="38" t="s">
        <v>49</v>
      </c>
      <c r="G9" s="39">
        <v>1123</v>
      </c>
      <c r="H9" s="9"/>
      <c r="I9" s="9"/>
    </row>
    <row r="10" spans="1:14" x14ac:dyDescent="0.25">
      <c r="F10" s="38" t="s">
        <v>50</v>
      </c>
      <c r="G10" s="39">
        <v>3203</v>
      </c>
      <c r="H10" s="39">
        <v>2721</v>
      </c>
      <c r="I10" s="9"/>
    </row>
    <row r="11" spans="1:14" x14ac:dyDescent="0.25">
      <c r="F11" s="38" t="s">
        <v>51</v>
      </c>
      <c r="G11" s="39">
        <v>19783</v>
      </c>
      <c r="H11" s="39">
        <v>19421</v>
      </c>
    </row>
    <row r="12" spans="1:14" x14ac:dyDescent="0.25">
      <c r="A12" s="1" t="s">
        <v>8</v>
      </c>
    </row>
    <row r="13" spans="1:14" x14ac:dyDescent="0.25">
      <c r="A13" s="1" t="s">
        <v>57</v>
      </c>
    </row>
    <row r="14" spans="1:14" x14ac:dyDescent="0.25">
      <c r="A14" s="47" t="s">
        <v>58</v>
      </c>
    </row>
    <row r="15" spans="1:14" x14ac:dyDescent="0.25">
      <c r="A15" s="47" t="s">
        <v>59</v>
      </c>
    </row>
  </sheetData>
  <hyperlinks>
    <hyperlink ref="A14" r:id="rId1" xr:uid="{BB5A42F7-E717-4268-A290-F179B1F72AE2}"/>
    <hyperlink ref="A15" r:id="rId2" xr:uid="{0EBBB9C9-13B7-4516-B87B-3833C7F12B75}"/>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Summary</vt:lpstr>
      <vt:lpstr>Income Statement</vt:lpstr>
      <vt:lpstr>Balance Sheet</vt:lpstr>
      <vt:lpstr>Cash Flow</vt:lpstr>
      <vt:lpstr>Ratios</vt:lpstr>
      <vt:lpstr>Charts</vt:lpstr>
      <vt:lpstr>Raw Data</vt:lpstr>
      <vt:lpstr>BalanceSheetData</vt:lpstr>
      <vt:lpstr>CashFlowData</vt:lpstr>
      <vt:lpstr>IncomeStatementData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Moreno,Victoria On-Kei</dc:creator>
  <cp:lastModifiedBy>Moreno,Victoria On-Kei</cp:lastModifiedBy>
  <dcterms:created xsi:type="dcterms:W3CDTF">2026-04-20T20:19:50Z</dcterms:created>
  <dcterms:modified xsi:type="dcterms:W3CDTF">2026-04-23T06:00:47Z</dcterms:modified>
</cp:coreProperties>
</file>